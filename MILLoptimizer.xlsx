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richarz/Projects/R65/"/>
    </mc:Choice>
  </mc:AlternateContent>
  <xr:revisionPtr revIDLastSave="0" documentId="13_ncr:1_{772787B9-0F87-F641-BB23-0A4001B29BD1}" xr6:coauthVersionLast="47" xr6:coauthVersionMax="47" xr10:uidLastSave="{00000000-0000-0000-0000-000000000000}"/>
  <bookViews>
    <workbookView xWindow="14200" yWindow="880" windowWidth="20740" windowHeight="26000" xr2:uid="{1A277CDC-03B1-FA4B-B015-EC7D499D0BEE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4" i="1" l="1"/>
  <c r="E9" i="1"/>
  <c r="E8" i="1"/>
  <c r="E7" i="1"/>
  <c r="E6" i="1"/>
  <c r="E5" i="1"/>
  <c r="E3" i="1"/>
  <c r="E2" i="1"/>
  <c r="G9" i="1" l="1"/>
  <c r="F9" i="1"/>
  <c r="G8" i="1"/>
  <c r="F8" i="1"/>
  <c r="G7" i="1"/>
  <c r="F7" i="1"/>
  <c r="G6" i="1"/>
  <c r="F6" i="1"/>
  <c r="F5" i="1"/>
  <c r="G5" i="1"/>
  <c r="F4" i="1"/>
  <c r="G4" i="1"/>
  <c r="F3" i="1"/>
  <c r="G3" i="1"/>
  <c r="F2" i="1"/>
  <c r="G2" i="1"/>
</calcChain>
</file>

<file path=xl/sharedStrings.xml><?xml version="1.0" encoding="utf-8"?>
<sst xmlns="http://schemas.openxmlformats.org/spreadsheetml/2006/main" count="7" uniqueCount="7">
  <si>
    <t>V</t>
  </si>
  <si>
    <t>W</t>
  </si>
  <si>
    <t>L</t>
  </si>
  <si>
    <t>D</t>
  </si>
  <si>
    <t>N</t>
  </si>
  <si>
    <t>WIN %</t>
  </si>
  <si>
    <t>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</si>
</sst>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MILL parameter optimization V_OPPTHREAT2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Tabelle1!$B$1</c:f>
              <c:strCache>
                <c:ptCount val="1"/>
                <c:pt idx="0">
                  <c:v>W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Tabelle1!$G$2:$G$14</c:f>
                <c:numCache>
                  <c:formatCode>General</c:formatCode>
                  <c:ptCount val="13"/>
                  <c:pt idx="0">
                    <c:v>0.4</c:v>
                  </c:pt>
                  <c:pt idx="1">
                    <c:v>0.4</c:v>
                  </c:pt>
                  <c:pt idx="2">
                    <c:v>0.4</c:v>
                  </c:pt>
                  <c:pt idx="3">
                    <c:v>0.32496153618543844</c:v>
                  </c:pt>
                  <c:pt idx="4">
                    <c:v>0.41424630354415959</c:v>
                  </c:pt>
                  <c:pt idx="5">
                    <c:v>0.41424630354415959</c:v>
                  </c:pt>
                  <c:pt idx="6">
                    <c:v>0.45825756949558394</c:v>
                  </c:pt>
                  <c:pt idx="7">
                    <c:v>0.27129319932501073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Tabelle1!$A$2:$A$9</c:f>
              <c:numCache>
                <c:formatCode>General</c:formatCode>
                <c:ptCount val="8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35</c:v>
                </c:pt>
                <c:pt idx="4">
                  <c:v>45</c:v>
                </c:pt>
                <c:pt idx="5">
                  <c:v>50</c:v>
                </c:pt>
                <c:pt idx="6">
                  <c:v>60</c:v>
                </c:pt>
                <c:pt idx="7">
                  <c:v>80</c:v>
                </c:pt>
              </c:numCache>
            </c:numRef>
          </c:xVal>
          <c:yVal>
            <c:numRef>
              <c:f>Tabelle1!$B$2:$B$9</c:f>
              <c:numCache>
                <c:formatCode>General</c:formatCode>
                <c:ptCount val="8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6</c:v>
                </c:pt>
                <c:pt idx="4">
                  <c:v>11</c:v>
                </c:pt>
                <c:pt idx="5">
                  <c:v>11</c:v>
                </c:pt>
                <c:pt idx="6">
                  <c:v>15</c:v>
                </c:pt>
                <c:pt idx="7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8B7-124E-8D44-FE1C64C8B36C}"/>
            </c:ext>
          </c:extLst>
        </c:ser>
        <c:ser>
          <c:idx val="1"/>
          <c:order val="1"/>
          <c:tx>
            <c:strRef>
              <c:f>Tabelle1!$C$1</c:f>
              <c:strCache>
                <c:ptCount val="1"/>
                <c:pt idx="0">
                  <c:v>L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Tabelle1!$A$2:$A$9</c:f>
              <c:numCache>
                <c:formatCode>General</c:formatCode>
                <c:ptCount val="8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35</c:v>
                </c:pt>
                <c:pt idx="4">
                  <c:v>45</c:v>
                </c:pt>
                <c:pt idx="5">
                  <c:v>50</c:v>
                </c:pt>
                <c:pt idx="6">
                  <c:v>60</c:v>
                </c:pt>
                <c:pt idx="7">
                  <c:v>80</c:v>
                </c:pt>
              </c:numCache>
            </c:numRef>
          </c:xVal>
          <c:yVal>
            <c:numRef>
              <c:f>Tabelle1!$C$2:$C$9</c:f>
              <c:numCache>
                <c:formatCode>General</c:formatCode>
                <c:ptCount val="8"/>
                <c:pt idx="0">
                  <c:v>40</c:v>
                </c:pt>
                <c:pt idx="1">
                  <c:v>30</c:v>
                </c:pt>
                <c:pt idx="2">
                  <c:v>32</c:v>
                </c:pt>
                <c:pt idx="3">
                  <c:v>34</c:v>
                </c:pt>
                <c:pt idx="4">
                  <c:v>34</c:v>
                </c:pt>
                <c:pt idx="5">
                  <c:v>33</c:v>
                </c:pt>
                <c:pt idx="6">
                  <c:v>30</c:v>
                </c:pt>
                <c:pt idx="7">
                  <c:v>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8B7-124E-8D44-FE1C64C8B3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6713280"/>
        <c:axId val="2127336256"/>
      </c:scatterChart>
      <c:valAx>
        <c:axId val="2136713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127336256"/>
        <c:crosses val="autoZero"/>
        <c:crossBetween val="midCat"/>
      </c:valAx>
      <c:valAx>
        <c:axId val="2127336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1367132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190500</xdr:rowOff>
    </xdr:from>
    <xdr:to>
      <xdr:col>14</xdr:col>
      <xdr:colOff>762000</xdr:colOff>
      <xdr:row>55</xdr:row>
      <xdr:rowOff>0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0C319A9A-A428-4126-94F2-DE7DC4CACB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AB477-F4FD-BE47-994E-E6119645F86B}">
  <dimension ref="A1:G9"/>
  <sheetViews>
    <sheetView tabSelected="1" workbookViewId="0">
      <selection activeCell="D9" sqref="D9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10</v>
      </c>
      <c r="B2">
        <v>10</v>
      </c>
      <c r="C2">
        <v>40</v>
      </c>
      <c r="D2">
        <v>0</v>
      </c>
      <c r="E2">
        <f>B2+C2+D2</f>
        <v>50</v>
      </c>
      <c r="F2" s="1">
        <f>B2/E2</f>
        <v>0.2</v>
      </c>
      <c r="G2" s="1">
        <f>SQRT(B2*(E2-B2))/E2</f>
        <v>0.4</v>
      </c>
    </row>
    <row r="3" spans="1:7" x14ac:dyDescent="0.2">
      <c r="A3">
        <v>20</v>
      </c>
      <c r="B3">
        <v>10</v>
      </c>
      <c r="C3">
        <v>30</v>
      </c>
      <c r="D3">
        <v>10</v>
      </c>
      <c r="E3">
        <f t="shared" ref="E3:E9" si="0">B3+C3+D3</f>
        <v>50</v>
      </c>
      <c r="F3" s="1">
        <f t="shared" ref="F3:F9" si="1">B3/E3</f>
        <v>0.2</v>
      </c>
      <c r="G3" s="1">
        <f t="shared" ref="G3:G9" si="2">SQRT(B3*(E3-B3))/E3</f>
        <v>0.4</v>
      </c>
    </row>
    <row r="4" spans="1:7" x14ac:dyDescent="0.2">
      <c r="A4">
        <v>30</v>
      </c>
      <c r="B4">
        <v>10</v>
      </c>
      <c r="C4">
        <v>32</v>
      </c>
      <c r="D4">
        <v>8</v>
      </c>
      <c r="E4">
        <f t="shared" si="0"/>
        <v>50</v>
      </c>
      <c r="F4" s="1">
        <f t="shared" si="1"/>
        <v>0.2</v>
      </c>
      <c r="G4" s="1">
        <f t="shared" si="2"/>
        <v>0.4</v>
      </c>
    </row>
    <row r="5" spans="1:7" x14ac:dyDescent="0.2">
      <c r="A5">
        <v>35</v>
      </c>
      <c r="B5">
        <v>6</v>
      </c>
      <c r="C5">
        <v>34</v>
      </c>
      <c r="D5">
        <v>10</v>
      </c>
      <c r="E5">
        <f t="shared" si="0"/>
        <v>50</v>
      </c>
      <c r="F5" s="1">
        <f t="shared" si="1"/>
        <v>0.12</v>
      </c>
      <c r="G5" s="1">
        <f t="shared" si="2"/>
        <v>0.32496153618543844</v>
      </c>
    </row>
    <row r="6" spans="1:7" x14ac:dyDescent="0.2">
      <c r="A6">
        <v>45</v>
      </c>
      <c r="B6">
        <v>11</v>
      </c>
      <c r="C6">
        <v>34</v>
      </c>
      <c r="D6">
        <v>5</v>
      </c>
      <c r="E6">
        <f t="shared" si="0"/>
        <v>50</v>
      </c>
      <c r="F6" s="1">
        <f t="shared" si="1"/>
        <v>0.22</v>
      </c>
      <c r="G6" s="1">
        <f t="shared" si="2"/>
        <v>0.41424630354415959</v>
      </c>
    </row>
    <row r="7" spans="1:7" x14ac:dyDescent="0.2">
      <c r="A7">
        <v>50</v>
      </c>
      <c r="B7">
        <v>11</v>
      </c>
      <c r="C7">
        <v>33</v>
      </c>
      <c r="D7">
        <v>6</v>
      </c>
      <c r="E7">
        <f t="shared" si="0"/>
        <v>50</v>
      </c>
      <c r="F7" s="1">
        <f t="shared" si="1"/>
        <v>0.22</v>
      </c>
      <c r="G7" s="1">
        <f t="shared" si="2"/>
        <v>0.41424630354415959</v>
      </c>
    </row>
    <row r="8" spans="1:7" x14ac:dyDescent="0.2">
      <c r="A8">
        <v>60</v>
      </c>
      <c r="B8">
        <v>15</v>
      </c>
      <c r="C8">
        <v>30</v>
      </c>
      <c r="D8">
        <v>5</v>
      </c>
      <c r="E8">
        <f t="shared" si="0"/>
        <v>50</v>
      </c>
      <c r="F8" s="1">
        <f t="shared" si="1"/>
        <v>0.3</v>
      </c>
      <c r="G8" s="1">
        <f t="shared" si="2"/>
        <v>0.45825756949558394</v>
      </c>
    </row>
    <row r="9" spans="1:7" x14ac:dyDescent="0.2">
      <c r="A9">
        <v>80</v>
      </c>
      <c r="B9">
        <v>4</v>
      </c>
      <c r="C9">
        <v>42</v>
      </c>
      <c r="D9">
        <v>4</v>
      </c>
      <c r="E9">
        <f t="shared" si="0"/>
        <v>50</v>
      </c>
      <c r="F9" s="1">
        <f t="shared" si="1"/>
        <v>0.08</v>
      </c>
      <c r="G9" s="1">
        <f t="shared" si="2"/>
        <v>0.27129319932501073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Rene Richarz</dc:creator>
  <cp:lastModifiedBy>Rene Richarz</cp:lastModifiedBy>
  <dcterms:created xsi:type="dcterms:W3CDTF">2026-09-25T06:34:59Z</dcterms:created>
  <dcterms:modified xsi:type="dcterms:W3CDTF">2026-09-25T11:08:38Z</dcterms:modified>
</cp:coreProperties>
</file>